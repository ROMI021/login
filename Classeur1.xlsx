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LAMO\Desktop\Avenir\"/>
    </mc:Choice>
  </mc:AlternateContent>
  <bookViews>
    <workbookView xWindow="0" yWindow="0" windowWidth="23040" windowHeight="9072"/>
  </bookViews>
  <sheets>
    <sheet name="prjec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N2" i="1"/>
  <c r="M2" i="1"/>
  <c r="L2" i="1"/>
  <c r="K2" i="1"/>
  <c r="J2" i="1"/>
  <c r="I2" i="1"/>
  <c r="E6" i="1"/>
  <c r="H2" i="1" s="1"/>
  <c r="D13" i="1"/>
  <c r="G2" i="1" l="1"/>
</calcChain>
</file>

<file path=xl/sharedStrings.xml><?xml version="1.0" encoding="utf-8"?>
<sst xmlns="http://schemas.openxmlformats.org/spreadsheetml/2006/main" count="30" uniqueCount="23">
  <si>
    <t>cours</t>
  </si>
  <si>
    <t>matériels</t>
  </si>
  <si>
    <t>prix</t>
  </si>
  <si>
    <t>imprévue</t>
  </si>
  <si>
    <t>mois 1</t>
  </si>
  <si>
    <t>mois 2</t>
  </si>
  <si>
    <t>mois 3</t>
  </si>
  <si>
    <t>mois 4</t>
  </si>
  <si>
    <t>mois 5</t>
  </si>
  <si>
    <t>mois 6</t>
  </si>
  <si>
    <t>dictionnaire</t>
  </si>
  <si>
    <t>pension</t>
  </si>
  <si>
    <t>total</t>
  </si>
  <si>
    <t>reste pension</t>
  </si>
  <si>
    <t>pension total</t>
  </si>
  <si>
    <t xml:space="preserve">dépense </t>
  </si>
  <si>
    <t>différence</t>
  </si>
  <si>
    <t>cahiers</t>
  </si>
  <si>
    <t>livres</t>
  </si>
  <si>
    <t xml:space="preserve">mois 1 </t>
  </si>
  <si>
    <t>mois 7</t>
  </si>
  <si>
    <t>mois 8</t>
  </si>
  <si>
    <t>Colonne1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</si>
</sst>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1" xfId="0" applyBorder="1"/>
    <xf numFmtId="0" fontId="2" fillId="2" borderId="1" xfId="0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minor"/>
      </font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minor"/>
      </font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minor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8" tint="0.79998168889431442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r>
              <a:rPr lang="en-US"/>
              <a:t>TENDANCES</a:t>
            </a:r>
          </a:p>
        </c:rich>
      </c:tx>
      <c:layout>
        <c:manualLayout>
          <c:xMode val="edge"/>
          <c:yMode val="edge"/>
          <c:x val="0.40706233595800523"/>
          <c:y val="4.587555343460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prjection!$G$1:$L$1</c:f>
              <c:strCache>
                <c:ptCount val="6"/>
                <c:pt idx="0">
                  <c:v>différence</c:v>
                </c:pt>
                <c:pt idx="1">
                  <c:v>mois 1 </c:v>
                </c:pt>
                <c:pt idx="2">
                  <c:v>mois 2</c:v>
                </c:pt>
                <c:pt idx="3">
                  <c:v>mois 3</c:v>
                </c:pt>
                <c:pt idx="4">
                  <c:v>mois 4</c:v>
                </c:pt>
                <c:pt idx="5">
                  <c:v>mois 5</c:v>
                </c:pt>
              </c:strCache>
            </c:strRef>
          </c:cat>
          <c:val>
            <c:numRef>
              <c:f>prjection!$G$2:$L$2</c:f>
              <c:numCache>
                <c:formatCode>General</c:formatCode>
                <c:ptCount val="6"/>
                <c:pt idx="0">
                  <c:v>-80000</c:v>
                </c:pt>
                <c:pt idx="1">
                  <c:v>105000</c:v>
                </c:pt>
                <c:pt idx="2">
                  <c:v>40000</c:v>
                </c:pt>
                <c:pt idx="3">
                  <c:v>40000</c:v>
                </c:pt>
                <c:pt idx="4">
                  <c:v>40000</c:v>
                </c:pt>
                <c:pt idx="5">
                  <c:v>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1-44EF-BCC4-9F3300890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950976"/>
        <c:axId val="1879956384"/>
      </c:lineChart>
      <c:catAx>
        <c:axId val="187995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956384"/>
        <c:crosses val="autoZero"/>
        <c:auto val="1"/>
        <c:lblAlgn val="ctr"/>
        <c:lblOffset val="100"/>
        <c:noMultiLvlLbl val="0"/>
      </c:catAx>
      <c:valAx>
        <c:axId val="187995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95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605204</xdr:colOff>
      <xdr:row>4</xdr:row>
      <xdr:rowOff>147681</xdr:rowOff>
    </xdr:from>
    <xdr:to>
      <xdr:col>12</xdr:col>
      <xdr:colOff>421054</xdr:colOff>
      <xdr:row>15</xdr:row>
      <xdr:rowOff>18988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au1" displayName="Tableau1" ref="G1:O2" totalsRowShown="0" headerRowDxfId="8" dataDxfId="30" headerRowBorderDxfId="32" tableBorderDxfId="33" totalsRowBorderDxfId="31">
  <autoFilter ref="G1:O2"/>
  <tableColumns count="9">
    <tableColumn id="1" name="différence" dataDxfId="17">
      <calculatedColumnFormula>D13-B10-E6</calculatedColumnFormula>
    </tableColumn>
    <tableColumn id="2" name="mois 1 " dataDxfId="16">
      <calculatedColumnFormula>B2+B3+E6</calculatedColumnFormula>
    </tableColumn>
    <tableColumn id="3" name="mois 2" dataDxfId="15">
      <calculatedColumnFormula>B4</calculatedColumnFormula>
    </tableColumn>
    <tableColumn id="4" name="mois 3" dataDxfId="14">
      <calculatedColumnFormula>B5</calculatedColumnFormula>
    </tableColumn>
    <tableColumn id="5" name="mois 4" dataDxfId="13">
      <calculatedColumnFormula>B6</calculatedColumnFormula>
    </tableColumn>
    <tableColumn id="6" name="mois 5" dataDxfId="12">
      <calculatedColumnFormula>B7</calculatedColumnFormula>
    </tableColumn>
    <tableColumn id="7" name="mois 6" dataDxfId="11">
      <calculatedColumnFormula>B8</calculatedColumnFormula>
    </tableColumn>
    <tableColumn id="8" name="mois 7" dataDxfId="10">
      <calculatedColumnFormula>B9</calculatedColumnFormula>
    </tableColumn>
    <tableColumn id="9" name="Colonne1" dataDxfId="9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B10" totalsRowShown="0" headerRowDxfId="26" headerRowBorderDxfId="28" tableBorderDxfId="29" totalsRowBorderDxfId="27">
  <autoFilter ref="A1:B10"/>
  <tableColumns count="2">
    <tableColumn id="1" name="cours" dataDxfId="7"/>
    <tableColumn id="2" name="pension" dataDxfId="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au3" displayName="Tableau3" ref="D1:E6" totalsRowShown="0" headerRowDxfId="22" headerRowBorderDxfId="24" tableBorderDxfId="25" totalsRowBorderDxfId="23">
  <autoFilter ref="D1:E6"/>
  <tableColumns count="2">
    <tableColumn id="1" name="matériels" dataDxfId="5"/>
    <tableColumn id="2" name="prix" dataDxfId="4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id="4" name="Tableau4" displayName="Tableau4" ref="A12:D14" totalsRowShown="0" headerRowDxfId="18" headerRowBorderDxfId="20" tableBorderDxfId="21" totalsRowBorderDxfId="19">
  <autoFilter ref="A12:D14"/>
  <tableColumns count="4">
    <tableColumn id="1" name="imprévue" dataDxfId="3"/>
    <tableColumn id="2" name="pension total" dataDxfId="2"/>
    <tableColumn id="3" name="dépense " dataDxfId="1"/>
    <tableColumn id="4" name="reste pension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tabSelected="1" workbookViewId="0">
      <selection activeCell="H19" sqref="H19"/>
    </sheetView>
  </sheetViews>
  <sheetFormatPr baseColWidth="10" defaultRowHeight="14.4" x14ac:dyDescent="0.3"/>
  <cols>
    <col min="1" max="1" width="11.5546875" style="1"/>
    <col min="2" max="2" width="13.5546875" style="1" customWidth="1"/>
    <col min="3" max="3" width="11.5546875" style="1"/>
    <col min="4" max="4" width="13.77734375" style="1" customWidth="1"/>
    <col min="5" max="13" width="11.5546875" style="1"/>
  </cols>
  <sheetData>
    <row r="1" spans="1:22" x14ac:dyDescent="0.3">
      <c r="A1" s="3" t="s">
        <v>0</v>
      </c>
      <c r="B1" s="3" t="s">
        <v>11</v>
      </c>
      <c r="C1" s="2"/>
      <c r="D1" s="4" t="s">
        <v>1</v>
      </c>
      <c r="E1" s="4" t="s">
        <v>2</v>
      </c>
      <c r="F1" s="2"/>
      <c r="G1" s="6" t="s">
        <v>16</v>
      </c>
      <c r="H1" s="6" t="s">
        <v>19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20</v>
      </c>
      <c r="O1" t="s">
        <v>22</v>
      </c>
      <c r="V1" s="6"/>
    </row>
    <row r="2" spans="1:22" x14ac:dyDescent="0.3">
      <c r="A2" s="3" t="s">
        <v>4</v>
      </c>
      <c r="B2" s="3">
        <v>40000</v>
      </c>
      <c r="C2" s="2"/>
      <c r="D2" s="4" t="s">
        <v>10</v>
      </c>
      <c r="E2" s="4">
        <v>10000</v>
      </c>
      <c r="F2" s="2"/>
      <c r="G2" s="6">
        <f>D13-B10-E6</f>
        <v>-80000</v>
      </c>
      <c r="H2" s="6">
        <f>B2+B3+E6</f>
        <v>105000</v>
      </c>
      <c r="I2" s="6">
        <f>B4</f>
        <v>40000</v>
      </c>
      <c r="J2" s="6">
        <f>B5</f>
        <v>40000</v>
      </c>
      <c r="K2" s="6">
        <f>B6</f>
        <v>40000</v>
      </c>
      <c r="L2" s="6">
        <f>B7</f>
        <v>40000</v>
      </c>
      <c r="M2" s="6">
        <f>B8</f>
        <v>40000</v>
      </c>
      <c r="N2" s="6">
        <f>B9</f>
        <v>40000</v>
      </c>
      <c r="V2" s="6"/>
    </row>
    <row r="3" spans="1:22" x14ac:dyDescent="0.3">
      <c r="A3" s="3" t="s">
        <v>5</v>
      </c>
      <c r="B3" s="3">
        <v>40000</v>
      </c>
      <c r="C3" s="2"/>
      <c r="D3" s="4" t="s">
        <v>17</v>
      </c>
      <c r="E3" s="4">
        <v>5000</v>
      </c>
      <c r="F3" s="2"/>
      <c r="G3" s="6"/>
      <c r="H3" s="6"/>
      <c r="I3" s="6"/>
      <c r="J3" s="6"/>
      <c r="K3" s="6"/>
      <c r="L3" s="6"/>
      <c r="M3" s="6"/>
      <c r="N3" s="6"/>
      <c r="V3" s="6"/>
    </row>
    <row r="4" spans="1:22" x14ac:dyDescent="0.3">
      <c r="A4" s="3" t="s">
        <v>6</v>
      </c>
      <c r="B4" s="3">
        <v>40000</v>
      </c>
      <c r="C4" s="2"/>
      <c r="D4" s="4" t="s">
        <v>18</v>
      </c>
      <c r="E4" s="4">
        <v>10000</v>
      </c>
      <c r="F4" s="2"/>
      <c r="G4" s="2"/>
      <c r="H4" s="2"/>
      <c r="I4" s="2"/>
      <c r="J4" s="2"/>
      <c r="K4" s="2"/>
      <c r="L4" s="2"/>
      <c r="M4" s="2"/>
      <c r="N4" s="2"/>
      <c r="V4" s="2"/>
    </row>
    <row r="5" spans="1:22" x14ac:dyDescent="0.3">
      <c r="A5" s="3" t="s">
        <v>7</v>
      </c>
      <c r="B5" s="3">
        <v>40000</v>
      </c>
      <c r="C5" s="2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V5" s="2"/>
    </row>
    <row r="6" spans="1:22" x14ac:dyDescent="0.3">
      <c r="A6" s="3" t="s">
        <v>8</v>
      </c>
      <c r="B6" s="3">
        <v>40000</v>
      </c>
      <c r="C6" s="2"/>
      <c r="D6" s="4" t="s">
        <v>12</v>
      </c>
      <c r="E6" s="4">
        <f>E2+E3+E4+E5</f>
        <v>25000</v>
      </c>
      <c r="F6" s="2"/>
      <c r="G6" s="2"/>
      <c r="H6" s="2"/>
      <c r="I6" s="2"/>
      <c r="J6" s="2"/>
      <c r="K6" s="2"/>
      <c r="L6" s="2"/>
      <c r="M6" s="2"/>
      <c r="N6" s="2"/>
      <c r="V6" s="2"/>
    </row>
    <row r="7" spans="1:22" x14ac:dyDescent="0.3">
      <c r="A7" s="3" t="s">
        <v>9</v>
      </c>
      <c r="B7" s="3">
        <v>40000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V7" s="2"/>
    </row>
    <row r="8" spans="1:22" x14ac:dyDescent="0.3">
      <c r="A8" s="3" t="s">
        <v>20</v>
      </c>
      <c r="B8" s="3">
        <v>40000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V8" s="2"/>
    </row>
    <row r="9" spans="1:22" x14ac:dyDescent="0.3">
      <c r="A9" s="3" t="s">
        <v>21</v>
      </c>
      <c r="B9" s="3">
        <v>40000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V9" s="2"/>
    </row>
    <row r="10" spans="1:22" x14ac:dyDescent="0.3">
      <c r="A10" s="3" t="s">
        <v>12</v>
      </c>
      <c r="B10" s="3">
        <f>B2+B3+B4+B5+B6+B7+B8+B9</f>
        <v>320000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V10" s="2"/>
    </row>
    <row r="12" spans="1:22" x14ac:dyDescent="0.3">
      <c r="A12" s="5" t="s">
        <v>3</v>
      </c>
      <c r="B12" s="5" t="s">
        <v>14</v>
      </c>
      <c r="C12" s="5" t="s">
        <v>15</v>
      </c>
      <c r="D12" s="5" t="s">
        <v>13</v>
      </c>
      <c r="E12" s="2"/>
      <c r="F12" s="2"/>
      <c r="G12" s="2"/>
      <c r="H12" s="2"/>
      <c r="I12" s="2"/>
      <c r="J12" s="2"/>
      <c r="K12" s="2"/>
      <c r="L12" s="2"/>
      <c r="M12" s="2"/>
      <c r="N12" s="2"/>
      <c r="V12" s="2"/>
    </row>
    <row r="13" spans="1:22" x14ac:dyDescent="0.3">
      <c r="A13" s="5"/>
      <c r="B13" s="5">
        <v>454000</v>
      </c>
      <c r="C13" s="5">
        <v>189000</v>
      </c>
      <c r="D13" s="5">
        <f>B13-C13</f>
        <v>265000</v>
      </c>
      <c r="E13" s="2"/>
      <c r="F13" s="2"/>
      <c r="G13" s="2"/>
      <c r="H13" s="2"/>
      <c r="I13" s="2"/>
      <c r="J13" s="2"/>
      <c r="K13" s="2"/>
      <c r="L13" s="2"/>
      <c r="M13" s="2"/>
      <c r="N13" s="2"/>
      <c r="V13" s="2"/>
    </row>
    <row r="14" spans="1:22" x14ac:dyDescent="0.3">
      <c r="A14" s="5"/>
      <c r="B14" s="5"/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V14" s="2"/>
    </row>
    <row r="15" spans="1:2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V15" s="2"/>
    </row>
    <row r="16" spans="1:2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V16" s="2"/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NGALAMO</dc:creator>
  <cp:lastModifiedBy>NGALAMO</cp:lastModifiedBy>
  <dcterms:created xsi:type="dcterms:W3CDTF">2026-01-19T05:00:59Z</dcterms:created>
  <dcterms:modified xsi:type="dcterms:W3CDTF">2026-01-19T07:19:46Z</dcterms:modified>
</cp:coreProperties>
</file>